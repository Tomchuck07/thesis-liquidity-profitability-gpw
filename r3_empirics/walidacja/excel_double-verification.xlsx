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ymon\Desktop\studia\2025\praca\testy\"/>
    </mc:Choice>
  </mc:AlternateContent>
  <xr:revisionPtr revIDLastSave="0" documentId="13_ncr:1_{AAA918E4-CF60-40C2-A9FB-E21216DCEF5B}" xr6:coauthVersionLast="47" xr6:coauthVersionMax="47" xr10:uidLastSave="{00000000-0000-0000-0000-000000000000}"/>
  <bookViews>
    <workbookView xWindow="0" yWindow="0" windowWidth="14400" windowHeight="15600" xr2:uid="{D39E9EF0-5CE6-4AC8-81F7-0398CC9D2D7E}"/>
  </bookViews>
  <sheets>
    <sheet name="Arkusz1" sheetId="1" r:id="rId1"/>
  </sheets>
  <definedNames>
    <definedName name="_xlnm._FilterDatabase" localSheetId="0" hidden="1">Arkusz1!$A$24:$H$42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1" l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H25" i="1"/>
  <c r="G25" i="1"/>
  <c r="F25" i="1"/>
  <c r="E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tc={4E07DEAA-D202-4FB7-9174-BA34B5723D08}</author>
    <author>tc={2C2261AB-12FD-4220-B3C5-8EFDA99FD019}</author>
    <author>tc={C3604A2E-77BB-4A86-8339-5918D41B3DF4}</author>
    <author>tc={AE6DAE0F-83DA-4E09-A9C5-34E07D94C14A}</author>
  </authors>
  <commentList>
    <comment ref="H16" authorId="0" shapeId="0" xr:uid="{4E07DEAA-D202-4FB7-9174-BA34B5723D0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-192 300</t>
      </text>
    </comment>
    <comment ref="H17" authorId="1" shapeId="0" xr:uid="{2C2261AB-12FD-4220-B3C5-8EFDA99FD01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-443 900</t>
      </text>
    </comment>
    <comment ref="C18" authorId="2" shapeId="0" xr:uid="{C3604A2E-77BB-4A86-8339-5918D41B3DF4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3 580 900</t>
      </text>
    </comment>
    <comment ref="H18" authorId="3" shapeId="0" xr:uid="{AE6DAE0F-83DA-4E09-A9C5-34E07D94C14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-124 700</t>
      </text>
    </comment>
  </commentList>
</comments>
</file>

<file path=xl/sharedStrings.xml><?xml version="1.0" encoding="utf-8"?>
<sst xmlns="http://schemas.openxmlformats.org/spreadsheetml/2006/main" count="55" uniqueCount="21">
  <si>
    <t>spolka</t>
  </si>
  <si>
    <t>rok</t>
  </si>
  <si>
    <t>aktywa_obrotowe</t>
  </si>
  <si>
    <t>zapasy</t>
  </si>
  <si>
    <t>rmc</t>
  </si>
  <si>
    <t>inwestycje_krotkoterm</t>
  </si>
  <si>
    <t>zob_krotkoterm</t>
  </si>
  <si>
    <t>zysk_netto</t>
  </si>
  <si>
    <t>przychody</t>
  </si>
  <si>
    <t>aktywa_ogolem</t>
  </si>
  <si>
    <t>kapital_wlasny</t>
  </si>
  <si>
    <t>Dino</t>
  </si>
  <si>
    <t>LPP</t>
  </si>
  <si>
    <t>CCC</t>
  </si>
  <si>
    <t>CR</t>
  </si>
  <si>
    <t>QR</t>
  </si>
  <si>
    <t>ChR</t>
  </si>
  <si>
    <t>ROS</t>
  </si>
  <si>
    <t>ROA</t>
  </si>
  <si>
    <t>ROE</t>
  </si>
  <si>
    <t>spółka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</si>
</sst>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73" formatCode="0.00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B050"/>
      <name val="Aptos Narrow"/>
      <family val="2"/>
      <charset val="238"/>
      <scheme val="minor"/>
    </font>
    <font>
      <sz val="11"/>
      <color rgb="FFC00000"/>
      <name val="Aptos Narrow"/>
      <family val="2"/>
      <charset val="238"/>
      <scheme val="minor"/>
    </font>
    <font>
      <sz val="11"/>
      <color theme="5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64" fontId="0" fillId="0" borderId="0" xfId="1" applyNumberFormat="1" applyFont="1"/>
    <xf numFmtId="164" fontId="2" fillId="2" borderId="0" xfId="1" applyNumberFormat="1" applyFont="1" applyFill="1"/>
    <xf numFmtId="164" fontId="2" fillId="0" borderId="0" xfId="1" applyNumberFormat="1" applyFont="1"/>
    <xf numFmtId="164" fontId="3" fillId="2" borderId="0" xfId="1" applyNumberFormat="1" applyFont="1" applyFill="1"/>
    <xf numFmtId="164" fontId="4" fillId="0" borderId="0" xfId="1" applyNumberFormat="1" applyFont="1"/>
    <xf numFmtId="173" fontId="0" fillId="0" borderId="0" xfId="0" applyNumberFormat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zymon Tomczak" id="{F8DD699B-8EBD-48B1-9086-BF6EA66F129C}" userId="S::szymon.tomczak@microsoft.wsei.edu.pl::11d11285-3fcd-4072-9b01-580ffcee9820" providerId="AD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6-06-10T11:29:33.70" personId="{F8DD699B-8EBD-48B1-9086-BF6EA66F129C}" id="{4E07DEAA-D202-4FB7-9174-BA34B5723D08}">
    <text>-192 300</text>
  </threadedComment>
  <threadedComment ref="H17" dT="2026-06-10T11:21:51.36" personId="{F8DD699B-8EBD-48B1-9086-BF6EA66F129C}" id="{2C2261AB-12FD-4220-B3C5-8EFDA99FD019}">
    <text>-443 900</text>
  </threadedComment>
  <threadedComment ref="C18" dT="2026-06-10T11:24:49.35" personId="{F8DD699B-8EBD-48B1-9086-BF6EA66F129C}" id="{C3604A2E-77BB-4A86-8339-5918D41B3DF4}">
    <text>3 580 900</text>
  </threadedComment>
  <threadedComment ref="H18" dT="2026-06-10T11:19:12.15" personId="{F8DD699B-8EBD-48B1-9086-BF6EA66F129C}" id="{AE6DAE0F-83DA-4E09-A9C5-34E07D94C14A}">
    <text>-124 700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5FDD-803D-45D0-A9D4-5F6B8D7176AC}">
  <sheetPr filterMode="1"/>
  <dimension ref="A1:K42"/>
  <sheetViews>
    <sheetView tabSelected="1" zoomScaleNormal="100" workbookViewId="0">
      <selection activeCell="C25" sqref="C25:C30"/>
    </sheetView>
  </sheetViews>
  <sheetFormatPr defaultRowHeight="15" x14ac:dyDescent="0.25"/>
  <cols>
    <col min="1" max="1" width="7" bestFit="1" customWidth="1"/>
    <col min="2" max="2" width="5" bestFit="1" customWidth="1"/>
    <col min="3" max="3" width="16.85546875" customWidth="1"/>
    <col min="4" max="4" width="11.28515625" customWidth="1"/>
    <col min="5" max="5" width="8.140625" customWidth="1"/>
    <col min="6" max="6" width="21.140625" bestFit="1" customWidth="1"/>
    <col min="7" max="7" width="15" bestFit="1" customWidth="1"/>
    <col min="8" max="8" width="10.7109375" customWidth="1"/>
    <col min="9" max="9" width="11.28515625" customWidth="1"/>
    <col min="10" max="10" width="15" bestFit="1" customWidth="1"/>
    <col min="11" max="11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2019</v>
      </c>
      <c r="C2" s="4">
        <v>1134987</v>
      </c>
      <c r="D2" s="4">
        <v>623995</v>
      </c>
      <c r="E2" s="4">
        <v>0</v>
      </c>
      <c r="F2" s="4">
        <v>394720</v>
      </c>
      <c r="G2" s="4">
        <v>1868180</v>
      </c>
      <c r="H2" s="3">
        <v>410907</v>
      </c>
      <c r="I2" s="3">
        <v>7646547</v>
      </c>
      <c r="J2" s="4">
        <v>4350750</v>
      </c>
      <c r="K2" s="4">
        <v>1622353</v>
      </c>
    </row>
    <row r="3" spans="1:11" x14ac:dyDescent="0.25">
      <c r="A3" t="s">
        <v>11</v>
      </c>
      <c r="B3">
        <v>2020</v>
      </c>
      <c r="C3" s="4">
        <v>1516698</v>
      </c>
      <c r="D3" s="4">
        <v>875147</v>
      </c>
      <c r="E3" s="4">
        <v>0</v>
      </c>
      <c r="F3" s="4">
        <v>480418</v>
      </c>
      <c r="G3" s="4">
        <v>2080691</v>
      </c>
      <c r="H3" s="3">
        <v>643917</v>
      </c>
      <c r="I3" s="3">
        <v>10125815</v>
      </c>
      <c r="J3" s="4">
        <v>5570510</v>
      </c>
      <c r="K3" s="4">
        <v>2266563</v>
      </c>
    </row>
    <row r="4" spans="1:11" x14ac:dyDescent="0.25">
      <c r="A4" t="s">
        <v>11</v>
      </c>
      <c r="B4">
        <v>2021</v>
      </c>
      <c r="C4" s="4">
        <v>1985184</v>
      </c>
      <c r="D4" s="4">
        <v>1373463</v>
      </c>
      <c r="E4" s="4">
        <v>0</v>
      </c>
      <c r="F4" s="4">
        <v>418615</v>
      </c>
      <c r="G4" s="4">
        <v>3005537</v>
      </c>
      <c r="H4" s="3">
        <v>805303</v>
      </c>
      <c r="I4" s="3">
        <v>13362012</v>
      </c>
      <c r="J4" s="4">
        <v>7168531</v>
      </c>
      <c r="K4" s="4">
        <v>3070190</v>
      </c>
    </row>
    <row r="5" spans="1:11" x14ac:dyDescent="0.25">
      <c r="A5" t="s">
        <v>11</v>
      </c>
      <c r="B5">
        <v>2022</v>
      </c>
      <c r="C5" s="4">
        <v>2706706</v>
      </c>
      <c r="D5" s="4">
        <v>1978778</v>
      </c>
      <c r="E5" s="4">
        <v>0</v>
      </c>
      <c r="F5" s="4">
        <v>382718</v>
      </c>
      <c r="G5" s="4">
        <v>3690127</v>
      </c>
      <c r="H5" s="3">
        <v>1132087</v>
      </c>
      <c r="I5" s="3">
        <v>19801622</v>
      </c>
      <c r="J5" s="4">
        <v>9003059</v>
      </c>
      <c r="K5" s="4">
        <v>4203783</v>
      </c>
    </row>
    <row r="6" spans="1:11" x14ac:dyDescent="0.25">
      <c r="A6" t="s">
        <v>11</v>
      </c>
      <c r="B6">
        <v>2023</v>
      </c>
      <c r="C6" s="4">
        <v>3253165</v>
      </c>
      <c r="D6" s="4">
        <v>2638859</v>
      </c>
      <c r="E6" s="4">
        <v>0</v>
      </c>
      <c r="F6" s="4">
        <v>218389</v>
      </c>
      <c r="G6" s="4">
        <v>3879293</v>
      </c>
      <c r="H6" s="3">
        <v>1405327</v>
      </c>
      <c r="I6" s="3">
        <v>25666255</v>
      </c>
      <c r="J6" s="4">
        <v>10377715</v>
      </c>
      <c r="K6" s="4">
        <v>5605311</v>
      </c>
    </row>
    <row r="7" spans="1:11" x14ac:dyDescent="0.25">
      <c r="A7" t="s">
        <v>11</v>
      </c>
      <c r="B7">
        <v>2024</v>
      </c>
      <c r="C7" s="4">
        <v>4439416</v>
      </c>
      <c r="D7" s="4">
        <v>3081444</v>
      </c>
      <c r="E7" s="4">
        <v>0</v>
      </c>
      <c r="F7" s="4">
        <v>891022</v>
      </c>
      <c r="G7" s="4">
        <v>5382849</v>
      </c>
      <c r="H7" s="3">
        <v>1505729</v>
      </c>
      <c r="I7" s="3">
        <v>29273792</v>
      </c>
      <c r="J7" s="4">
        <v>13055794</v>
      </c>
      <c r="K7" s="4">
        <v>7102434</v>
      </c>
    </row>
    <row r="8" spans="1:11" x14ac:dyDescent="0.25">
      <c r="A8" t="s">
        <v>12</v>
      </c>
      <c r="B8">
        <v>2019</v>
      </c>
      <c r="C8" s="4">
        <v>3735143</v>
      </c>
      <c r="D8" s="4">
        <v>1921139</v>
      </c>
      <c r="E8" s="4">
        <v>36892</v>
      </c>
      <c r="F8" s="4">
        <v>1361474</v>
      </c>
      <c r="G8" s="4">
        <v>3199120</v>
      </c>
      <c r="H8" s="3">
        <v>421039</v>
      </c>
      <c r="I8" s="3">
        <v>9899243</v>
      </c>
      <c r="J8" s="4">
        <v>9605862</v>
      </c>
      <c r="K8" s="4">
        <v>3247491</v>
      </c>
    </row>
    <row r="9" spans="1:11" x14ac:dyDescent="0.25">
      <c r="A9" t="s">
        <v>12</v>
      </c>
      <c r="B9">
        <v>2020</v>
      </c>
      <c r="C9" s="4">
        <v>4733200</v>
      </c>
      <c r="D9" s="4">
        <v>2074447</v>
      </c>
      <c r="E9" s="4">
        <v>32249</v>
      </c>
      <c r="F9" s="4">
        <v>1277854</v>
      </c>
      <c r="G9" s="4">
        <v>4171199</v>
      </c>
      <c r="H9" s="3">
        <v>-190130</v>
      </c>
      <c r="I9" s="3">
        <v>7848079</v>
      </c>
      <c r="J9" s="4">
        <v>10353768</v>
      </c>
      <c r="K9" s="4">
        <v>3068391</v>
      </c>
    </row>
    <row r="10" spans="1:11" x14ac:dyDescent="0.25">
      <c r="A10" t="s">
        <v>12</v>
      </c>
      <c r="B10">
        <v>2021</v>
      </c>
      <c r="C10" s="4">
        <v>7107533</v>
      </c>
      <c r="D10" s="4">
        <v>3864113</v>
      </c>
      <c r="E10" s="4">
        <v>49243</v>
      </c>
      <c r="F10" s="4">
        <v>1354891</v>
      </c>
      <c r="G10" s="4">
        <v>6879932</v>
      </c>
      <c r="H10" s="3">
        <v>953522</v>
      </c>
      <c r="I10" s="3">
        <v>14029674</v>
      </c>
      <c r="J10" s="4">
        <v>14135248</v>
      </c>
      <c r="K10" s="4">
        <v>3272097</v>
      </c>
    </row>
    <row r="11" spans="1:11" x14ac:dyDescent="0.25">
      <c r="A11" t="s">
        <v>12</v>
      </c>
      <c r="B11">
        <v>2022</v>
      </c>
      <c r="C11" s="4">
        <v>5569267</v>
      </c>
      <c r="D11" s="4">
        <v>3353404</v>
      </c>
      <c r="E11" s="4">
        <v>78943</v>
      </c>
      <c r="F11" s="4">
        <v>465046</v>
      </c>
      <c r="G11" s="4">
        <v>5213952</v>
      </c>
      <c r="H11" s="3">
        <v>485099</v>
      </c>
      <c r="I11" s="3">
        <v>15926504</v>
      </c>
      <c r="J11" s="4">
        <v>12921040</v>
      </c>
      <c r="K11" s="4">
        <v>3984377</v>
      </c>
    </row>
    <row r="12" spans="1:11" x14ac:dyDescent="0.25">
      <c r="A12" t="s">
        <v>12</v>
      </c>
      <c r="B12">
        <v>2023</v>
      </c>
      <c r="C12" s="4">
        <v>5828700</v>
      </c>
      <c r="D12" s="4">
        <v>3040300</v>
      </c>
      <c r="E12" s="4">
        <v>81600</v>
      </c>
      <c r="F12" s="4">
        <v>1076500</v>
      </c>
      <c r="G12" s="4">
        <v>5653800</v>
      </c>
      <c r="H12" s="3">
        <v>1612000</v>
      </c>
      <c r="I12" s="3">
        <v>17406200</v>
      </c>
      <c r="J12" s="4">
        <v>13802100</v>
      </c>
      <c r="K12" s="4">
        <v>4717000</v>
      </c>
    </row>
    <row r="13" spans="1:11" x14ac:dyDescent="0.25">
      <c r="A13" t="s">
        <v>12</v>
      </c>
      <c r="B13">
        <v>2024</v>
      </c>
      <c r="C13" s="4">
        <v>7629000</v>
      </c>
      <c r="D13" s="4">
        <v>4669000</v>
      </c>
      <c r="E13" s="4">
        <v>81000</v>
      </c>
      <c r="F13" s="4">
        <v>846000</v>
      </c>
      <c r="G13" s="4">
        <v>8453000</v>
      </c>
      <c r="H13" s="3">
        <v>1747000</v>
      </c>
      <c r="I13" s="3">
        <v>20194000</v>
      </c>
      <c r="J13" s="4">
        <v>17501000</v>
      </c>
      <c r="K13" s="4">
        <v>5302000</v>
      </c>
    </row>
    <row r="14" spans="1:11" x14ac:dyDescent="0.25">
      <c r="A14" t="s">
        <v>13</v>
      </c>
      <c r="B14">
        <v>2019</v>
      </c>
      <c r="C14" s="4">
        <v>2933200</v>
      </c>
      <c r="D14" s="4">
        <v>1942300</v>
      </c>
      <c r="E14" s="4">
        <v>0</v>
      </c>
      <c r="F14" s="4">
        <v>542600</v>
      </c>
      <c r="G14" s="4">
        <v>2958300</v>
      </c>
      <c r="H14" s="3">
        <v>-27500</v>
      </c>
      <c r="I14" s="3">
        <v>5402900</v>
      </c>
      <c r="J14" s="4">
        <v>7143700</v>
      </c>
      <c r="K14" s="4">
        <v>1089600</v>
      </c>
    </row>
    <row r="15" spans="1:11" x14ac:dyDescent="0.25">
      <c r="A15" t="s">
        <v>13</v>
      </c>
      <c r="B15">
        <v>2020</v>
      </c>
      <c r="C15" s="4">
        <v>3061400</v>
      </c>
      <c r="D15" s="4">
        <v>2192600</v>
      </c>
      <c r="E15" s="4">
        <v>0</v>
      </c>
      <c r="F15" s="4">
        <v>458700</v>
      </c>
      <c r="G15" s="4">
        <v>3346500</v>
      </c>
      <c r="H15" s="3">
        <v>-1280300</v>
      </c>
      <c r="I15" s="3">
        <v>5638600</v>
      </c>
      <c r="J15" s="4">
        <v>6647400</v>
      </c>
      <c r="K15" s="4">
        <v>309800</v>
      </c>
    </row>
    <row r="16" spans="1:11" x14ac:dyDescent="0.25">
      <c r="A16" t="s">
        <v>13</v>
      </c>
      <c r="B16">
        <v>2021</v>
      </c>
      <c r="C16" s="4">
        <v>4106900</v>
      </c>
      <c r="D16" s="4">
        <v>2625800</v>
      </c>
      <c r="E16" s="4">
        <v>0</v>
      </c>
      <c r="F16" s="4">
        <v>941100</v>
      </c>
      <c r="G16" s="4">
        <v>2938900</v>
      </c>
      <c r="H16" s="5">
        <v>-192300</v>
      </c>
      <c r="I16" s="3">
        <v>7591500</v>
      </c>
      <c r="J16" s="4">
        <v>7500700</v>
      </c>
      <c r="K16" s="4">
        <v>1151600</v>
      </c>
    </row>
    <row r="17" spans="1:11" x14ac:dyDescent="0.25">
      <c r="A17" t="s">
        <v>13</v>
      </c>
      <c r="B17">
        <v>2022</v>
      </c>
      <c r="C17" s="4">
        <v>3462800</v>
      </c>
      <c r="D17" s="4">
        <v>2691100</v>
      </c>
      <c r="E17" s="4">
        <v>0</v>
      </c>
      <c r="F17" s="4">
        <v>395400</v>
      </c>
      <c r="G17" s="4">
        <v>3740000</v>
      </c>
      <c r="H17" s="5">
        <v>-443900</v>
      </c>
      <c r="I17" s="3">
        <v>9123200</v>
      </c>
      <c r="J17" s="4">
        <v>7064100</v>
      </c>
      <c r="K17" s="4">
        <v>582700</v>
      </c>
    </row>
    <row r="18" spans="1:11" x14ac:dyDescent="0.25">
      <c r="A18" t="s">
        <v>13</v>
      </c>
      <c r="B18">
        <v>2023</v>
      </c>
      <c r="C18" s="6">
        <v>3580900</v>
      </c>
      <c r="D18" s="4">
        <v>2911600</v>
      </c>
      <c r="E18" s="2">
        <v>0</v>
      </c>
      <c r="F18" s="4">
        <v>266500</v>
      </c>
      <c r="G18" s="4">
        <v>4433200</v>
      </c>
      <c r="H18" s="5">
        <v>-124700</v>
      </c>
      <c r="I18" s="3">
        <v>9440300</v>
      </c>
      <c r="J18" s="4">
        <v>7346000</v>
      </c>
      <c r="K18" s="4">
        <v>953500</v>
      </c>
    </row>
    <row r="19" spans="1:11" x14ac:dyDescent="0.25">
      <c r="A19" t="s">
        <v>13</v>
      </c>
      <c r="B19">
        <v>2024</v>
      </c>
      <c r="C19" s="4">
        <v>4706200</v>
      </c>
      <c r="D19" s="4">
        <v>3579000</v>
      </c>
      <c r="E19" s="2">
        <v>0</v>
      </c>
      <c r="F19" s="4">
        <v>461200</v>
      </c>
      <c r="G19" s="4">
        <v>4058100</v>
      </c>
      <c r="H19" s="3">
        <v>1023200</v>
      </c>
      <c r="I19" s="3">
        <v>10302800</v>
      </c>
      <c r="J19" s="4">
        <v>9051900</v>
      </c>
      <c r="K19" s="4">
        <v>1935900</v>
      </c>
    </row>
    <row r="24" spans="1:11" x14ac:dyDescent="0.25">
      <c r="A24" t="s">
        <v>20</v>
      </c>
      <c r="B24" t="s">
        <v>1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</row>
    <row r="25" spans="1:11" x14ac:dyDescent="0.25">
      <c r="A25" t="s">
        <v>11</v>
      </c>
      <c r="B25">
        <v>2019</v>
      </c>
      <c r="C25">
        <f>C2/G2</f>
        <v>0.60753621171407468</v>
      </c>
      <c r="D25">
        <f>(C2-D2-E2)/G2</f>
        <v>0.27352396450020877</v>
      </c>
      <c r="E25">
        <f>F2/G2</f>
        <v>0.2112858503998544</v>
      </c>
      <c r="F25">
        <f>H2/I2</f>
        <v>5.3737589005861078E-2</v>
      </c>
      <c r="G25">
        <f>H2/J2</f>
        <v>9.4445095673159798E-2</v>
      </c>
      <c r="H25">
        <f>H2/K2</f>
        <v>0.25327841721253019</v>
      </c>
    </row>
    <row r="26" spans="1:11" x14ac:dyDescent="0.25">
      <c r="A26" t="s">
        <v>11</v>
      </c>
      <c r="B26">
        <v>2020</v>
      </c>
      <c r="C26">
        <f t="shared" ref="C26:C42" si="0">C3/G3</f>
        <v>0.72893956863368947</v>
      </c>
      <c r="D26">
        <f t="shared" ref="D26:D42" si="1">(C3-D3-E3)/G3</f>
        <v>0.30833554814241998</v>
      </c>
      <c r="E26">
        <f t="shared" ref="E26:E42" si="2">F3/G3</f>
        <v>0.2308934868272127</v>
      </c>
      <c r="F26">
        <f t="shared" ref="F26:F42" si="3">H3/I3</f>
        <v>6.359162200771E-2</v>
      </c>
      <c r="G26">
        <f t="shared" ref="G26:G42" si="4">H3/J3</f>
        <v>0.115593904328329</v>
      </c>
      <c r="H26">
        <f t="shared" ref="H26:H42" si="5">H3/K3</f>
        <v>0.28409402253544241</v>
      </c>
    </row>
    <row r="27" spans="1:11" x14ac:dyDescent="0.25">
      <c r="A27" t="s">
        <v>11</v>
      </c>
      <c r="B27">
        <v>2021</v>
      </c>
      <c r="C27">
        <f t="shared" si="0"/>
        <v>0.66050892070202427</v>
      </c>
      <c r="D27">
        <f t="shared" si="1"/>
        <v>0.20353134897357777</v>
      </c>
      <c r="E27">
        <f t="shared" si="2"/>
        <v>0.13928126654238493</v>
      </c>
      <c r="F27">
        <f t="shared" si="3"/>
        <v>6.0268094355850003E-2</v>
      </c>
      <c r="G27">
        <f t="shared" si="4"/>
        <v>0.11233863674440411</v>
      </c>
      <c r="H27">
        <f t="shared" si="5"/>
        <v>0.26229744738924954</v>
      </c>
    </row>
    <row r="28" spans="1:11" x14ac:dyDescent="0.25">
      <c r="A28" t="s">
        <v>11</v>
      </c>
      <c r="B28">
        <v>2022</v>
      </c>
      <c r="C28">
        <f t="shared" si="0"/>
        <v>0.733499416144756</v>
      </c>
      <c r="D28">
        <f t="shared" si="1"/>
        <v>0.1972636714129351</v>
      </c>
      <c r="E28">
        <f t="shared" si="2"/>
        <v>0.10371404561414824</v>
      </c>
      <c r="F28">
        <f t="shared" si="3"/>
        <v>5.7171427673955194E-2</v>
      </c>
      <c r="G28">
        <f t="shared" si="4"/>
        <v>0.12574470521630482</v>
      </c>
      <c r="H28">
        <f t="shared" si="5"/>
        <v>0.26930195968726262</v>
      </c>
    </row>
    <row r="29" spans="1:11" x14ac:dyDescent="0.25">
      <c r="A29" t="s">
        <v>11</v>
      </c>
      <c r="B29">
        <v>2023</v>
      </c>
      <c r="C29">
        <f t="shared" si="0"/>
        <v>0.83859739390657007</v>
      </c>
      <c r="D29">
        <f t="shared" si="1"/>
        <v>0.15835514357899752</v>
      </c>
      <c r="E29">
        <f t="shared" si="2"/>
        <v>5.629608281715251E-2</v>
      </c>
      <c r="F29">
        <f t="shared" si="3"/>
        <v>5.4753878195319107E-2</v>
      </c>
      <c r="G29">
        <f t="shared" si="4"/>
        <v>0.1354177677841413</v>
      </c>
      <c r="H29">
        <f t="shared" si="5"/>
        <v>0.25071347513099629</v>
      </c>
    </row>
    <row r="30" spans="1:11" x14ac:dyDescent="0.25">
      <c r="A30" t="s">
        <v>11</v>
      </c>
      <c r="B30">
        <v>2024</v>
      </c>
      <c r="C30">
        <f t="shared" si="0"/>
        <v>0.82473351936864658</v>
      </c>
      <c r="D30">
        <f t="shared" si="1"/>
        <v>0.25227755785087042</v>
      </c>
      <c r="E30">
        <f t="shared" si="2"/>
        <v>0.16552981515922144</v>
      </c>
      <c r="F30">
        <f t="shared" si="3"/>
        <v>5.1436076337496694E-2</v>
      </c>
      <c r="G30">
        <f t="shared" si="4"/>
        <v>0.11533032766907934</v>
      </c>
      <c r="H30">
        <f t="shared" si="5"/>
        <v>0.21200182923206326</v>
      </c>
    </row>
    <row r="31" spans="1:11" hidden="1" x14ac:dyDescent="0.25">
      <c r="A31" t="s">
        <v>12</v>
      </c>
      <c r="B31">
        <v>2019</v>
      </c>
      <c r="C31" s="7">
        <f t="shared" si="0"/>
        <v>1.1675532646477782</v>
      </c>
      <c r="D31">
        <f t="shared" si="1"/>
        <v>0.5555002625722073</v>
      </c>
      <c r="E31">
        <f t="shared" si="2"/>
        <v>0.42557765885618543</v>
      </c>
      <c r="F31">
        <f t="shared" si="3"/>
        <v>4.2532444147496934E-2</v>
      </c>
      <c r="G31">
        <f t="shared" si="4"/>
        <v>4.3831464578608356E-2</v>
      </c>
      <c r="H31">
        <f t="shared" si="5"/>
        <v>0.12965055176442367</v>
      </c>
    </row>
    <row r="32" spans="1:11" hidden="1" x14ac:dyDescent="0.25">
      <c r="A32" t="s">
        <v>12</v>
      </c>
      <c r="B32">
        <v>2020</v>
      </c>
      <c r="C32" s="7">
        <f t="shared" si="0"/>
        <v>1.1347336820899698</v>
      </c>
      <c r="D32">
        <f t="shared" si="1"/>
        <v>0.62967602360855957</v>
      </c>
      <c r="E32">
        <f t="shared" si="2"/>
        <v>0.30635172284995271</v>
      </c>
      <c r="F32">
        <f t="shared" si="3"/>
        <v>-2.4226310667871717E-2</v>
      </c>
      <c r="G32">
        <f t="shared" si="4"/>
        <v>-1.8363362980511055E-2</v>
      </c>
      <c r="H32">
        <f t="shared" si="5"/>
        <v>-6.1964071723584119E-2</v>
      </c>
    </row>
    <row r="33" spans="1:8" hidden="1" x14ac:dyDescent="0.25">
      <c r="A33" t="s">
        <v>12</v>
      </c>
      <c r="B33">
        <v>2021</v>
      </c>
      <c r="C33" s="7">
        <f t="shared" si="0"/>
        <v>1.0330818676696223</v>
      </c>
      <c r="D33">
        <f t="shared" si="1"/>
        <v>0.46427450155030603</v>
      </c>
      <c r="E33">
        <f t="shared" si="2"/>
        <v>0.19693377783385069</v>
      </c>
      <c r="F33">
        <f t="shared" si="3"/>
        <v>6.7964658337748979E-2</v>
      </c>
      <c r="G33">
        <f t="shared" si="4"/>
        <v>6.7457040725426257E-2</v>
      </c>
      <c r="H33">
        <f t="shared" si="5"/>
        <v>0.29141006516616103</v>
      </c>
    </row>
    <row r="34" spans="1:8" hidden="1" x14ac:dyDescent="0.25">
      <c r="A34" t="s">
        <v>12</v>
      </c>
      <c r="B34">
        <v>2022</v>
      </c>
      <c r="C34" s="7">
        <f t="shared" si="0"/>
        <v>1.0681469641454313</v>
      </c>
      <c r="D34">
        <f t="shared" si="1"/>
        <v>0.40984650414886825</v>
      </c>
      <c r="E34">
        <f t="shared" si="2"/>
        <v>8.9192612436785002E-2</v>
      </c>
      <c r="F34">
        <f t="shared" si="3"/>
        <v>3.0458599074850323E-2</v>
      </c>
      <c r="G34">
        <f t="shared" si="4"/>
        <v>3.7543340164568798E-2</v>
      </c>
      <c r="H34">
        <f t="shared" si="5"/>
        <v>0.12175027614103785</v>
      </c>
    </row>
    <row r="35" spans="1:8" hidden="1" x14ac:dyDescent="0.25">
      <c r="A35" t="s">
        <v>12</v>
      </c>
      <c r="B35">
        <v>2023</v>
      </c>
      <c r="C35" s="7">
        <f t="shared" si="0"/>
        <v>1.0309349464077258</v>
      </c>
      <c r="D35">
        <f t="shared" si="1"/>
        <v>0.47875764972231066</v>
      </c>
      <c r="E35">
        <f t="shared" si="2"/>
        <v>0.19040291485372671</v>
      </c>
      <c r="F35">
        <f t="shared" si="3"/>
        <v>9.2610678953476341E-2</v>
      </c>
      <c r="G35">
        <f t="shared" si="4"/>
        <v>0.11679382123010267</v>
      </c>
      <c r="H35">
        <f t="shared" si="5"/>
        <v>0.34174263302946789</v>
      </c>
    </row>
    <row r="36" spans="1:8" hidden="1" x14ac:dyDescent="0.25">
      <c r="A36" t="s">
        <v>12</v>
      </c>
      <c r="B36">
        <v>2024</v>
      </c>
      <c r="C36" s="7">
        <f t="shared" si="0"/>
        <v>0.90251981545013604</v>
      </c>
      <c r="D36">
        <f t="shared" si="1"/>
        <v>0.34058913995031348</v>
      </c>
      <c r="E36">
        <f t="shared" si="2"/>
        <v>0.10008281083638945</v>
      </c>
      <c r="F36">
        <f t="shared" si="3"/>
        <v>8.6510844805387732E-2</v>
      </c>
      <c r="G36">
        <f t="shared" si="4"/>
        <v>9.9822867264727735E-2</v>
      </c>
      <c r="H36">
        <f t="shared" si="5"/>
        <v>0.32949830252734819</v>
      </c>
    </row>
    <row r="37" spans="1:8" hidden="1" x14ac:dyDescent="0.25">
      <c r="A37" t="s">
        <v>13</v>
      </c>
      <c r="B37">
        <v>2019</v>
      </c>
      <c r="C37">
        <f t="shared" si="0"/>
        <v>0.99151539735658989</v>
      </c>
      <c r="D37">
        <f t="shared" si="1"/>
        <v>0.33495588682689381</v>
      </c>
      <c r="E37">
        <f t="shared" si="2"/>
        <v>0.18341615116790047</v>
      </c>
      <c r="F37">
        <f t="shared" si="3"/>
        <v>-5.0898591497158937E-3</v>
      </c>
      <c r="G37">
        <f t="shared" si="4"/>
        <v>-3.849545753601075E-3</v>
      </c>
      <c r="H37">
        <f t="shared" si="5"/>
        <v>-2.5238619676945667E-2</v>
      </c>
    </row>
    <row r="38" spans="1:8" hidden="1" x14ac:dyDescent="0.25">
      <c r="A38" t="s">
        <v>13</v>
      </c>
      <c r="B38">
        <v>2020</v>
      </c>
      <c r="C38">
        <f t="shared" si="0"/>
        <v>0.9148065142686389</v>
      </c>
      <c r="D38">
        <f t="shared" si="1"/>
        <v>0.25961452263558943</v>
      </c>
      <c r="E38">
        <f t="shared" si="2"/>
        <v>0.13706857911250561</v>
      </c>
      <c r="F38">
        <f t="shared" si="3"/>
        <v>-0.22705990848792254</v>
      </c>
      <c r="G38">
        <f t="shared" si="4"/>
        <v>-0.19260161867797937</v>
      </c>
      <c r="H38">
        <f t="shared" si="5"/>
        <v>-4.1326662362814721</v>
      </c>
    </row>
    <row r="39" spans="1:8" hidden="1" x14ac:dyDescent="0.25">
      <c r="A39" t="s">
        <v>13</v>
      </c>
      <c r="B39">
        <v>2021</v>
      </c>
      <c r="C39">
        <f t="shared" si="0"/>
        <v>1.3974276089693423</v>
      </c>
      <c r="D39">
        <f t="shared" si="1"/>
        <v>0.50396406818877815</v>
      </c>
      <c r="E39">
        <f t="shared" si="2"/>
        <v>0.32022185171322604</v>
      </c>
      <c r="F39">
        <f t="shared" si="3"/>
        <v>-2.5330962260422842E-2</v>
      </c>
      <c r="G39">
        <f t="shared" si="4"/>
        <v>-2.5637607156665378E-2</v>
      </c>
      <c r="H39">
        <f t="shared" si="5"/>
        <v>-0.16698506425842308</v>
      </c>
    </row>
    <row r="40" spans="1:8" hidden="1" x14ac:dyDescent="0.25">
      <c r="A40" t="s">
        <v>13</v>
      </c>
      <c r="B40">
        <v>2022</v>
      </c>
      <c r="C40">
        <f t="shared" si="0"/>
        <v>0.92588235294117649</v>
      </c>
      <c r="D40">
        <f t="shared" si="1"/>
        <v>0.20633689839572192</v>
      </c>
      <c r="E40">
        <f t="shared" si="2"/>
        <v>0.10572192513368985</v>
      </c>
      <c r="F40">
        <f t="shared" si="3"/>
        <v>-4.8656173272535949E-2</v>
      </c>
      <c r="G40">
        <f t="shared" si="4"/>
        <v>-6.2838861284523151E-2</v>
      </c>
      <c r="H40">
        <f t="shared" si="5"/>
        <v>-0.76179852411189286</v>
      </c>
    </row>
    <row r="41" spans="1:8" hidden="1" x14ac:dyDescent="0.25">
      <c r="A41" t="s">
        <v>13</v>
      </c>
      <c r="B41">
        <v>2023</v>
      </c>
      <c r="C41">
        <f t="shared" si="0"/>
        <v>0.80774609762699634</v>
      </c>
      <c r="D41">
        <f t="shared" si="1"/>
        <v>0.15097446539745557</v>
      </c>
      <c r="E41">
        <f t="shared" si="2"/>
        <v>6.0114589912478568E-2</v>
      </c>
      <c r="F41">
        <f t="shared" si="3"/>
        <v>-1.3209325974810122E-2</v>
      </c>
      <c r="G41">
        <f t="shared" si="4"/>
        <v>-1.6975224612033761E-2</v>
      </c>
      <c r="H41">
        <f t="shared" si="5"/>
        <v>-0.1307813319349764</v>
      </c>
    </row>
    <row r="42" spans="1:8" hidden="1" x14ac:dyDescent="0.25">
      <c r="A42" t="s">
        <v>13</v>
      </c>
      <c r="B42">
        <v>2024</v>
      </c>
      <c r="C42">
        <f t="shared" si="0"/>
        <v>1.1597052807964319</v>
      </c>
      <c r="D42">
        <f t="shared" si="1"/>
        <v>0.2777654567408393</v>
      </c>
      <c r="E42">
        <f t="shared" si="2"/>
        <v>0.11364924472043567</v>
      </c>
      <c r="F42">
        <f t="shared" si="3"/>
        <v>9.9312808168653177E-2</v>
      </c>
      <c r="G42">
        <f t="shared" si="4"/>
        <v>0.11303704194699456</v>
      </c>
      <c r="H42">
        <f t="shared" si="5"/>
        <v>0.52853969729841421</v>
      </c>
    </row>
  </sheetData>
  <autoFilter ref="A24:H42" xr:uid="{F33A5FDD-803D-45D0-A9D4-5F6B8D7176AC}">
    <filterColumn colId="0">
      <filters>
        <filter val="Dino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Tomczak</dc:creator>
  <cp:lastModifiedBy>Szymon Tomczak</cp:lastModifiedBy>
  <dcterms:created xsi:type="dcterms:W3CDTF">2026-06-09T21:07:17Z</dcterms:created>
  <dcterms:modified xsi:type="dcterms:W3CDTF">2026-06-10T15:44:16Z</dcterms:modified>
</cp:coreProperties>
</file>